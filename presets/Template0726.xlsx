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ltanazhari/Downloads/Teazzi/"/>
    </mc:Choice>
  </mc:AlternateContent>
  <xr:revisionPtr revIDLastSave="0" documentId="13_ncr:1_{8C8164EE-EB14-8444-9FBD-DC444056921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ETAIL AUDIT" sheetId="1" r:id="rId1"/>
    <sheet name="ATTACH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64" i="1" s="1"/>
  <c r="D154" i="1"/>
  <c r="D171" i="1" s="1"/>
  <c r="D147" i="1"/>
  <c r="D142" i="1"/>
  <c r="D133" i="1"/>
  <c r="D107" i="1"/>
  <c r="D97" i="1"/>
  <c r="D89" i="1"/>
  <c r="D83" i="1"/>
  <c r="D77" i="1"/>
  <c r="D73" i="1"/>
  <c r="D67" i="1"/>
  <c r="D58" i="1"/>
  <c r="D49" i="1"/>
  <c r="D42" i="1"/>
  <c r="D34" i="1"/>
  <c r="D30" i="1"/>
  <c r="D20" i="1"/>
  <c r="D165" i="1" s="1"/>
  <c r="E165" i="1" s="1"/>
  <c r="C154" i="1"/>
  <c r="C171" i="1" s="1"/>
  <c r="C147" i="1"/>
  <c r="C142" i="1"/>
  <c r="C133" i="1"/>
  <c r="C107" i="1"/>
  <c r="C97" i="1"/>
  <c r="C89" i="1"/>
  <c r="C83" i="1"/>
  <c r="C77" i="1"/>
  <c r="C73" i="1"/>
  <c r="C72" i="1" s="1"/>
  <c r="C168" i="1" s="1"/>
  <c r="C67" i="1"/>
  <c r="C58" i="1"/>
  <c r="C49" i="1"/>
  <c r="C48" i="1" s="1"/>
  <c r="C167" i="1" s="1"/>
  <c r="C42" i="1"/>
  <c r="C34" i="1"/>
  <c r="C30" i="1"/>
  <c r="C29" i="1" s="1"/>
  <c r="C166" i="1" s="1"/>
  <c r="C20" i="1"/>
  <c r="C165" i="1" s="1"/>
  <c r="C11" i="1"/>
  <c r="C164" i="1" s="1"/>
  <c r="E164" i="1" l="1"/>
  <c r="C88" i="1"/>
  <c r="C169" i="1" s="1"/>
  <c r="C141" i="1"/>
  <c r="C170" i="1" s="1"/>
  <c r="E171" i="1"/>
  <c r="D141" i="1"/>
  <c r="D170" i="1" s="1"/>
  <c r="E170" i="1" s="1"/>
  <c r="D88" i="1"/>
  <c r="D169" i="1" s="1"/>
  <c r="E169" i="1" s="1"/>
  <c r="D72" i="1"/>
  <c r="D168" i="1" s="1"/>
  <c r="E168" i="1" s="1"/>
  <c r="D48" i="1"/>
  <c r="D167" i="1" s="1"/>
  <c r="E167" i="1" s="1"/>
  <c r="D29" i="1"/>
  <c r="D166" i="1" s="1"/>
  <c r="E166" i="1" s="1"/>
  <c r="E172" i="1" l="1"/>
  <c r="E9" i="1" s="1"/>
  <c r="E2" i="1" s="1"/>
</calcChain>
</file>

<file path=xl/sharedStrings.xml><?xml version="1.0" encoding="utf-8"?>
<sst xmlns="http://schemas.openxmlformats.org/spreadsheetml/2006/main" count="180" uniqueCount="169">
  <si>
    <t>INTERNAL AUDIT / 
VISIT STORE</t>
  </si>
  <si>
    <t>FINAL
SCORE</t>
  </si>
  <si>
    <t>GRADING</t>
  </si>
  <si>
    <t>STORE NAME</t>
  </si>
  <si>
    <t>AUDITOR</t>
  </si>
  <si>
    <t>DATE</t>
  </si>
  <si>
    <t>PIC ON DUTY</t>
  </si>
  <si>
    <t>TOTAL SCORE</t>
  </si>
  <si>
    <t>DETAIL TO VERIFY</t>
  </si>
  <si>
    <t>Basic Score</t>
  </si>
  <si>
    <t>Actual Score</t>
  </si>
  <si>
    <t>REMARKS</t>
  </si>
  <si>
    <t>PERSONAL GROOMING</t>
  </si>
  <si>
    <t xml:space="preserve"> </t>
  </si>
  <si>
    <t>Makeup &amp; Wajah – Makeup natural dan profesional. Wajah bersih dan rapi.</t>
  </si>
  <si>
    <t>Kerapian Rambut – Rambut bersih, rapi, tidak menutupi wajah. Rambut panjang wajib diikat.</t>
  </si>
  <si>
    <t xml:space="preserve">Jenggot &amp; Kumis Harus dalam keadaan rapi. </t>
  </si>
  <si>
    <t>Apron, Topi, Baju, Celana (bersih, tidak kusam, celana hitam bukan jeans)</t>
  </si>
  <si>
    <t>Aroma tubuh (tidak menyengat/memakai parfum)</t>
  </si>
  <si>
    <t>Tangan, jari bersih &amp; kuku pendek (rutin cuci tangan)</t>
  </si>
  <si>
    <t>Tidak diperbolehkan menggunakan Cincin, Kalung, Anting berlebihan, Gelang.</t>
  </si>
  <si>
    <t>Tatto wajib dalam keadaan tertutup jika terlihat secara langsung di anggota tubuh.</t>
  </si>
  <si>
    <t>ATTITUDE</t>
  </si>
  <si>
    <t>Tepat Waktu Masuk Kerja – Karyawan wajib hadir sesuai jadwal tanpa keterlambatan.</t>
  </si>
  <si>
    <t>Tepat Waktu Setelah Istirahat – Karyawan wajib kembali dari break tepat waktu.</t>
  </si>
  <si>
    <t>Tidak bersandar atau memiliki postur tubuh yang tidak baik</t>
  </si>
  <si>
    <t>Tidak bergerombol/berkumpul di satu tempat</t>
  </si>
  <si>
    <t>Tidak terlihat muram dan acuh kepada customer</t>
  </si>
  <si>
    <t>Tidak bercanda berlebihan</t>
  </si>
  <si>
    <t>Fokus terhadap pekerjaan (Tidak Selalu Chattingan atau menggunakan HP saat bekerja)</t>
  </si>
  <si>
    <t>Tidak berbicara dengan suara keras (jika tidak diperlukan)</t>
  </si>
  <si>
    <t>SQUENCE OF SERVICE</t>
  </si>
  <si>
    <t>A. Greeting</t>
  </si>
  <si>
    <t>Greeting : "Welcome to Teazzi"</t>
  </si>
  <si>
    <t>Eye Contact - Menatap dengan sopan saat hendak pengorderan</t>
  </si>
  <si>
    <t>SMILE - Senyum tulus saat melayani customer</t>
  </si>
  <si>
    <t>B. Taking Order</t>
  </si>
  <si>
    <t>Professionalsm &amp; Respect - Jika ada antrian atau bulk-order, beri estimasi waktu tunggu.  
– Jika ingin menginput orderan online, minta izin kepada customer terlebih dahulu.</t>
  </si>
  <si>
    <t>Memberi Rekomendasi &amp; Aktif – Aktif membantu customer memilih menu sesuai preferensi.</t>
  </si>
  <si>
    <t>Upselling Topping, Produk Baru– Menawarkan tambahan topping secara efektif &amp; Menawarkan Produk baru</t>
  </si>
  <si>
    <t>Menawarkan Member – Menjelaskan manfaat dan mengajak customer untuk menjadi member.</t>
  </si>
  <si>
    <t>Penguasaan Produk – Memahami menu, bahan, dan keunggulan setiap produk dengan baik.</t>
  </si>
  <si>
    <t>Ketepatan Transaksi – Proses pembayaran dengan benar, kembalian dan struk harus akurat.</t>
  </si>
  <si>
    <t>Akurasi Pesanan – Sajikan sesuai permintaan customer tanpa kesalahan.</t>
  </si>
  <si>
    <t>C. Serving the Order</t>
  </si>
  <si>
    <t>Sajikan minuman sesuai urutan pesanan (First In, First Out).</t>
  </si>
  <si>
    <t>Gunakan 2 tangan dalam memberikan pesanan customer baik cup only atau dalam plastik</t>
  </si>
  <si>
    <t>Farewell Greeting - “Ini pesanan Kakak, terima kasih! Enjoy your tea!”</t>
  </si>
  <si>
    <t>Eye Contact - Menatap dengan sopan saat menyajikan menu</t>
  </si>
  <si>
    <t>PRODUCT HANDLING</t>
  </si>
  <si>
    <t>A. Raw Material</t>
  </si>
  <si>
    <t>Ketersediaan Produk – Pastikan semua teh dan topping tersedia, tidak ada yang kosong.</t>
  </si>
  <si>
    <t>Ketersediaan Produk Online– Pastikan seluruh menu online sesuai dengan ketersediaan menu di outlet.</t>
  </si>
  <si>
    <t>Sumber Bahan Baku – Hanya boleh membeli bahan baku dari toko yang terdaftar.</t>
  </si>
  <si>
    <t>FIFO – Gunakan bahan baku sesuai urutan masuk (First In, First Out).</t>
  </si>
  <si>
    <t>Kebersihan Bahan Baku – Semua bahan baku harus ditutup rapat.</t>
  </si>
  <si>
    <t>Kualitas &amp; Kebersihan Bahan – Gunakan bahan segar, tidak kedaluwarsa, berlabel jelas, dan jaga area kerja tetap higienis.</t>
  </si>
  <si>
    <t>Takaran Bahan Baku – Gunakan ukuran / Takaran Bahan Baku sesuai standar.</t>
  </si>
  <si>
    <t>Penyimpanan Bahan Baku, tidak boleh diletakan diatas lantai langsung. Harus berjarak 10 cm diatas lantai</t>
  </si>
  <si>
    <t>B. Processing Order</t>
  </si>
  <si>
    <t>Konsistensi Produk – Proses pembuatan teh, topping, dan jus harus sesuai SOP.</t>
  </si>
  <si>
    <t>Penutup Wadah – Tutup kembali kotak es batu dan creamer setelah digunakan.</t>
  </si>
  <si>
    <t>Shaking – Kocok minuman 10–15 kali sesuai standar.</t>
  </si>
  <si>
    <t>Ambil Es – Ambil es batu dengan rapi, tidak berantakan.</t>
  </si>
  <si>
    <t>Kecepatan Proses Pesanan – Ambil, siapkan, dan sajikan pesanan dengan cepat dan efisien.</t>
  </si>
  <si>
    <t>Higienitas Minuman – Jari tidak boleh menyentuh minuman atau bagian dalam cup.</t>
  </si>
  <si>
    <t>Takaran Topping – Gunakan topping sesuai gramasi yang ditentukan.</t>
  </si>
  <si>
    <t>C. Packaging</t>
  </si>
  <si>
    <t>Kualitas Kemasan – Sealing Cup &amp; Cup harus kuat, tidak bocor, dan menjaga suhu minuman.</t>
  </si>
  <si>
    <t>Kemudahan Penggunaan – Desain mudah digenggam, dibawa, dan diminum.</t>
  </si>
  <si>
    <t>Tampilan &amp; Branding – Kemasan menarik dan mencerminkan identitas brand.</t>
  </si>
  <si>
    <t>Kebersihan Cup – Cup minuman harus bersih dan sudah dilap sebelum disajikan.</t>
  </si>
  <si>
    <t>ENVIRONMENT</t>
  </si>
  <si>
    <t>A. Music / Ambience</t>
  </si>
  <si>
    <t>Bahasa Lagu – Hanya lagu berbahasa Inggris yang boleh diputar.</t>
  </si>
  <si>
    <t>Genre Musik – Sesuaikan dengan konsep toko; hindari heavy metal, rock, EDM, dan sejenisnya.</t>
  </si>
  <si>
    <t>Volume Musik – Volume sedang, tidak terlalu keras atau terlalu pelan.</t>
  </si>
  <si>
    <t>B. Temperature &amp; Fragnance</t>
  </si>
  <si>
    <t>Suhu Nyaman – Jaga suhu ruangan 22–25°C untuk kenyamanan customer dan staff.</t>
  </si>
  <si>
    <t>Stabilitas Suhu – Hindari perubahan suhu mendadak antar area.</t>
  </si>
  <si>
    <t>Sirkulasi &amp; Kelembapan – Ventilasi baik, kelembapan dijaga di 40–60%.</t>
  </si>
  <si>
    <t>Aroma Menyenangkan – Ruangan harus wangi dan menyegarkan.</t>
  </si>
  <si>
    <t>Wangi yang Lembut – Hindari aroma yang terlalu menyengat.</t>
  </si>
  <si>
    <t>C. Technical</t>
  </si>
  <si>
    <t>Kalibrasi Mesin Gula – Pastikan kalibrasi sesuai standar (–2 poin jika tidak sesuai).</t>
  </si>
  <si>
    <t>Reverse Osmosis (RO) - Water Filter Sedimen Wajib diganti jika sudah hitam.</t>
  </si>
  <si>
    <t>Reverse Osmosis (RO) - GAC &amp; CTO Wajib diganti setiap 3 bulan</t>
  </si>
  <si>
    <t>Reverse Osmosis (RO) - Membran wajib diganti setiap 6 bulan</t>
  </si>
  <si>
    <t>CLEANLINESS</t>
  </si>
  <si>
    <t>A. Display</t>
  </si>
  <si>
    <t>Logo &amp; Quotes – Harus bersih, utuh, dan terpasang dengan rapi.</t>
  </si>
  <si>
    <t>Lampu – Tidak boleh ada lampu mati, semua harus berfungsi.</t>
  </si>
  <si>
    <t>Televisi – Harus dalam kondisi menyala dan siap digunakan.</t>
  </si>
  <si>
    <t>Area Kasir – Tent card, menu, dan QRIS harus tertata dan bersih.</t>
  </si>
  <si>
    <t>Tempat Sampah Kecil – Tidak boleh penuh terlalu lama, harus rutin dikosongkan.</t>
  </si>
  <si>
    <t>Banner &amp; Signage – Bersih, tidak rusak, dan dipasang sesuai standar.</t>
  </si>
  <si>
    <t>Display Nomor Antrian - Dalam Keadaan aktif / berfungsi &amp; Selalu update</t>
  </si>
  <si>
    <t>B. Bar Area</t>
  </si>
  <si>
    <t>Area Staff – Lemari staff harus rapi, barang pribadi tidak bercampur dengan barang toko dan tidak terlihat customer.</t>
  </si>
  <si>
    <t>Larangan Makan – Tidak diperbolehkan makan di dalam area store.</t>
  </si>
  <si>
    <t>Kerapihan Barang – Semua barang di dalam store harus tertata dengan rapi.</t>
  </si>
  <si>
    <t>Tempat Sampah – Tidak boleh dalam kondisi terbuka.</t>
  </si>
  <si>
    <t>Kebersihan Lantai – Perhatikan sudut mati dan seluruh permukaan lantai.</t>
  </si>
  <si>
    <t>Sink - Tidak banyak Kotoran, Tidak ada genangan, Tidak Berkerak Coklat</t>
  </si>
  <si>
    <t>Rel Bawah Wastafel – Harus bersih dan bebas dari kotoran atau tumpukan barang.</t>
  </si>
  <si>
    <t>Pengunaan Barang Outlet - Tidak digunakan untuk Kepentingan Pribadi</t>
  </si>
  <si>
    <t>Clean as You Go - Jika terdapat tumpahan / Cipratan Milk Tea, Topping ataupun produk. Dapat segera dibersihkan, tidak menunggu hingga closing / jam shift berakhir. Preparation table &amp; Production Table (tidak terdapat sisa produk)</t>
  </si>
  <si>
    <t>C. Equipment 
(Peralatan yang Harus Bersih &amp; Berfungsi Baik)</t>
  </si>
  <si>
    <t>Timbangan (Scale)</t>
  </si>
  <si>
    <t>Alat pengambil topping (Saringan Boba, Saringan Jelly, Sendok)</t>
  </si>
  <si>
    <t>Rice Cooker</t>
  </si>
  <si>
    <t>Alat Bar (Shacker, Long Bar Spoon, Creamer Spoon, Ice Scoop, Milk Jug, Jigger)</t>
  </si>
  <si>
    <t>Tea Keg</t>
  </si>
  <si>
    <t>Wadah Creamer</t>
  </si>
  <si>
    <t>Mesin Gula</t>
  </si>
  <si>
    <t>Ice Bin</t>
  </si>
  <si>
    <t>Mesin Seal</t>
  </si>
  <si>
    <t>Panci</t>
  </si>
  <si>
    <t>Soup Ladle (Sendok Sup)</t>
  </si>
  <si>
    <t>Kompor</t>
  </si>
  <si>
    <t>Water Boiler</t>
  </si>
  <si>
    <t>Gelas Ukuran Jumbo (Jug 5000 mL)</t>
  </si>
  <si>
    <t>Ice Maker</t>
  </si>
  <si>
    <t>Juicer</t>
  </si>
  <si>
    <t>Blender</t>
  </si>
  <si>
    <t>Chiller</t>
  </si>
  <si>
    <t>Lime Press</t>
  </si>
  <si>
    <t>Pisau &amp; Wadah Pisau</t>
  </si>
  <si>
    <t>Jug 500 mL</t>
  </si>
  <si>
    <t>Botol Squizze</t>
  </si>
  <si>
    <t>APAR tersedia dan siap digunakan</t>
  </si>
  <si>
    <t>Lap pembersih dalam kondisi bersih &amp; digunakan dengan benar</t>
  </si>
  <si>
    <t>Other</t>
  </si>
  <si>
    <t>D. Seating Area</t>
  </si>
  <si>
    <t>Meja - Dalam Keadaan Bersih &amp; Tidak Rusak</t>
  </si>
  <si>
    <t>Kursi - Dalam Keadaan Bersih &amp; Tidak Rusak</t>
  </si>
  <si>
    <t>Lantai Dining Area - Bersih &amp; tidak rusak</t>
  </si>
  <si>
    <t>Tempat Sampah – Tidak boleh penuh, harus rutin dikosongkan.</t>
  </si>
  <si>
    <t>Partisi, dinding dan interior dalam kondisi bersih</t>
  </si>
  <si>
    <t>Display Dining Area - Tanaman, Seasonal Design, Merchandise pastikan bersih dan tidak rusak</t>
  </si>
  <si>
    <t>Tidak ada debu/kotoran/noda pada interior kaca</t>
  </si>
  <si>
    <t>FOOD SAFETY</t>
  </si>
  <si>
    <t>A. Habbit</t>
  </si>
  <si>
    <t>Pemisahan Alat – Alat kebersihan tidak boleh dicampur dengan alat makan, dan sebaliknya.</t>
  </si>
  <si>
    <t>Kesehatan Staff – Staff sakit tidak boleh bekerja. Jika batuk, flu, atau demam, wajib pakai masker dan bebas dari penyakit menular.</t>
  </si>
  <si>
    <t>Cuci Tangan – Wajib mencuci tangan sebelum memproses produk.</t>
  </si>
  <si>
    <t>Sarung Tangan – Wajib pakai sarung tangan bersih tanpa sobek, dan segera diganti jika rusak.</t>
  </si>
  <si>
    <t>B. Product Quality</t>
  </si>
  <si>
    <t>Produk Terbuka – Tidak boleh ada produk/Topping terbuka di luar Teazzi serta di dalam kulkas.</t>
  </si>
  <si>
    <t>Penutupan Produk – Semua produk harus tertutup rapat.</t>
  </si>
  <si>
    <t>Labeling Topping - Semua bahan baku kitchen memiliki label serta Penggunaan sesuai dengan FIFO/FEFO</t>
  </si>
  <si>
    <t>Penyimpanan Topping – Simpan topping di chiller setelah dipakai, pastikan wadah bersih.</t>
  </si>
  <si>
    <t>Bahan Terkontaminasi – Bahan yang jatuh atau terkontaminasi tidak boleh digunakan lagi. Produk Expired</t>
  </si>
  <si>
    <t>Benda Asing – Produk tidak boleh mengandung benda asing apa pun.</t>
  </si>
  <si>
    <t>OTHER</t>
  </si>
  <si>
    <t>Kotak P3K – Pastikan tersedia dan isinya lengkap.</t>
  </si>
  <si>
    <t>Kebersihan dari Hama – Serangga, Lalat / Fly dll</t>
  </si>
  <si>
    <t>ETC</t>
  </si>
  <si>
    <t>Beragam jenis laporan atau masukan dapat diajukan untuk meningkatkan kualitas toko dan mendorong perbaikan berkelanjutan.</t>
  </si>
  <si>
    <t>Rincian nilai perkategori</t>
  </si>
  <si>
    <t>KATEGORI</t>
  </si>
  <si>
    <t>ATTACHMENT</t>
  </si>
  <si>
    <t>Kebersihan dari Hama – Kecoa / Tikus</t>
  </si>
  <si>
    <t>Total Score</t>
  </si>
  <si>
    <t>A = 96-100 (Excellent)</t>
  </si>
  <si>
    <t>B+ = 91-95 (Very Good)</t>
  </si>
  <si>
    <t>B = 86-90 (Good)</t>
  </si>
  <si>
    <t>B- = 81-85 (Need Improvement)</t>
  </si>
  <si>
    <t>C = &lt;80 (Critical)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</si>
</sst>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@\ * &quot;:&quot;"/>
    <numFmt numFmtId="165" formatCode="\:\ \ \ \ \ ###"/>
    <numFmt numFmtId="166" formatCode="[$-F800]dddd\,\ mmmm\ dd\,\ yyyy"/>
    <numFmt numFmtId="17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Bahnschrift SemiBold"/>
      <family val="2"/>
    </font>
    <font>
      <sz val="2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theme="1"/>
      <name val="Bahnschrift Light"/>
      <family val="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5" borderId="0" xfId="0" applyFont="1" applyFill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1" xfId="0" quotePrefix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/>
    </xf>
    <xf numFmtId="0" fontId="6" fillId="0" borderId="0" xfId="0" applyFont="1"/>
    <xf numFmtId="0" fontId="0" fillId="0" borderId="0" xfId="0" applyAlignment="1">
      <alignment vertical="center" wrapText="1"/>
    </xf>
    <xf numFmtId="0" fontId="8" fillId="4" borderId="1" xfId="0" applyFont="1" applyFill="1" applyBorder="1"/>
    <xf numFmtId="0" fontId="8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6" fillId="0" borderId="2" xfId="0" quotePrefix="1" applyFont="1" applyBorder="1" applyAlignment="1">
      <alignment horizontal="left" vertical="center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" fontId="1" fillId="4" borderId="1" xfId="1" applyNumberFormat="1" applyFont="1" applyFill="1" applyBorder="1" applyAlignment="1">
      <alignment horizontal="center" vertical="center"/>
    </xf>
    <xf numFmtId="1" fontId="1" fillId="5" borderId="0" xfId="1" applyNumberFormat="1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6" xfId="0" applyBorder="1"/>
    <xf numFmtId="0" fontId="1" fillId="5" borderId="9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1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0" fillId="0" borderId="8" xfId="0" applyBorder="1"/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5" borderId="0" xfId="1" applyNumberFormat="1" applyFont="1" applyFill="1" applyAlignment="1">
      <alignment horizontal="center" vertical="center"/>
    </xf>
    <xf numFmtId="0" fontId="1" fillId="0" borderId="0" xfId="0" applyFont="1"/>
    <xf numFmtId="0" fontId="6" fillId="0" borderId="1" xfId="0" quotePrefix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196272</xdr:rowOff>
    </xdr:from>
    <xdr:to>
      <xdr:col>1</xdr:col>
      <xdr:colOff>112896</xdr:colOff>
      <xdr:row>3</xdr:row>
      <xdr:rowOff>1385</xdr:rowOff>
    </xdr:to>
    <xdr:pic>
      <xdr:nvPicPr>
        <xdr:cNvPr id="2" name="Picture 1" descr="Teazzi Indones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t="27232" b="28125"/>
        <a:stretch>
          <a:fillRect/>
        </a:stretch>
      </xdr:blipFill>
      <xdr:spPr bwMode="auto">
        <a:xfrm>
          <a:off x="1" y="196272"/>
          <a:ext cx="1090795" cy="513773"/>
        </a:xfrm>
        <a:prstGeom prst="rect">
          <a:avLst/>
        </a:prstGeom>
        <a:noFill/>
        <a:ln>
          <a:solidFill>
            <a:schemeClr val="tx1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72"/>
  <sheetViews>
    <sheetView tabSelected="1" zoomScale="125" workbookViewId="0">
      <selection activeCell="E15" sqref="E15"/>
    </sheetView>
  </sheetViews>
  <sheetFormatPr baseColWidth="10" defaultRowHeight="15" x14ac:dyDescent="0.2"/>
  <cols>
    <col min="1" max="1" width="12.83203125" customWidth="1"/>
    <col min="2" max="2" width="49" style="17" customWidth="1"/>
    <col min="3" max="3" width="9.6640625" style="2" bestFit="1" customWidth="1"/>
    <col min="4" max="4" width="11.6640625" style="2" bestFit="1" customWidth="1"/>
    <col min="5" max="5" width="34.5" customWidth="1"/>
    <col min="6" max="6" width="33.33203125" customWidth="1"/>
  </cols>
  <sheetData>
    <row r="2" spans="1:7" ht="25" customHeight="1" x14ac:dyDescent="0.25">
      <c r="A2" s="6"/>
      <c r="B2" s="48" t="s">
        <v>0</v>
      </c>
      <c r="C2" s="49"/>
      <c r="D2" s="52" t="s">
        <v>1</v>
      </c>
      <c r="E2" s="57" t="str">
        <f>IF(E9&gt;=96,"A", IF(E9&gt;=91, "B+", IF(E9&gt;=86, "B", IF(E9&gt;=81, "B-", "C"))))</f>
        <v>A</v>
      </c>
      <c r="F2" s="66" t="s">
        <v>2</v>
      </c>
    </row>
    <row r="3" spans="1:7" ht="21" customHeight="1" x14ac:dyDescent="0.2">
      <c r="B3" s="50"/>
      <c r="C3" s="49"/>
      <c r="D3" s="53"/>
      <c r="E3" s="58"/>
      <c r="F3" s="66" t="s">
        <v>164</v>
      </c>
    </row>
    <row r="4" spans="1:7" x14ac:dyDescent="0.2">
      <c r="F4" s="66" t="s">
        <v>165</v>
      </c>
    </row>
    <row r="5" spans="1:7" x14ac:dyDescent="0.2">
      <c r="F5" s="66" t="s">
        <v>166</v>
      </c>
    </row>
    <row r="6" spans="1:7" ht="16" customHeight="1" x14ac:dyDescent="0.2">
      <c r="A6" s="10" t="s">
        <v>3</v>
      </c>
      <c r="B6" s="15"/>
      <c r="D6" s="41" t="s">
        <v>4</v>
      </c>
      <c r="F6" s="66" t="s">
        <v>167</v>
      </c>
    </row>
    <row r="7" spans="1:7" ht="16" customHeight="1" x14ac:dyDescent="0.2">
      <c r="A7" s="11" t="s">
        <v>5</v>
      </c>
      <c r="B7" s="16"/>
      <c r="D7" s="41" t="s">
        <v>6</v>
      </c>
      <c r="F7" s="66" t="s">
        <v>168</v>
      </c>
    </row>
    <row r="8" spans="1:7" x14ac:dyDescent="0.2">
      <c r="A8" s="11" t="s">
        <v>5</v>
      </c>
      <c r="B8" s="16"/>
      <c r="C8" s="37"/>
      <c r="D8" s="37"/>
    </row>
    <row r="9" spans="1:7" x14ac:dyDescent="0.2">
      <c r="D9" s="13" t="s">
        <v>7</v>
      </c>
      <c r="E9" s="65">
        <f>E172/10</f>
        <v>100</v>
      </c>
    </row>
    <row r="10" spans="1:7" x14ac:dyDescent="0.2">
      <c r="A10" s="51" t="s">
        <v>8</v>
      </c>
      <c r="B10" s="45"/>
      <c r="C10" s="7" t="s">
        <v>9</v>
      </c>
      <c r="D10" s="7" t="s">
        <v>10</v>
      </c>
      <c r="E10" s="7" t="s">
        <v>11</v>
      </c>
    </row>
    <row r="11" spans="1:7" ht="19" customHeight="1" x14ac:dyDescent="0.25">
      <c r="A11" s="61" t="s">
        <v>12</v>
      </c>
      <c r="B11" s="45"/>
      <c r="C11" s="35">
        <f>SUM(C12:C19)</f>
        <v>26</v>
      </c>
      <c r="D11" s="35">
        <f>SUM(D12:D19)</f>
        <v>26</v>
      </c>
      <c r="E11" s="24"/>
      <c r="G11" t="s">
        <v>13</v>
      </c>
    </row>
    <row r="12" spans="1:7" ht="32" customHeight="1" x14ac:dyDescent="0.2">
      <c r="A12" s="1">
        <v>1</v>
      </c>
      <c r="B12" s="18" t="s">
        <v>14</v>
      </c>
      <c r="C12" s="38">
        <v>3</v>
      </c>
      <c r="D12" s="38">
        <v>3</v>
      </c>
      <c r="E12" s="12"/>
    </row>
    <row r="13" spans="1:7" ht="32" customHeight="1" x14ac:dyDescent="0.2">
      <c r="A13" s="1">
        <v>2</v>
      </c>
      <c r="B13" s="18" t="s">
        <v>15</v>
      </c>
      <c r="C13" s="38">
        <v>3</v>
      </c>
      <c r="D13" s="38">
        <v>3</v>
      </c>
      <c r="E13" s="12"/>
    </row>
    <row r="14" spans="1:7" ht="16" customHeight="1" x14ac:dyDescent="0.2">
      <c r="A14" s="1">
        <v>3</v>
      </c>
      <c r="B14" s="18" t="s">
        <v>16</v>
      </c>
      <c r="C14" s="38">
        <v>3</v>
      </c>
      <c r="D14" s="38">
        <v>3</v>
      </c>
      <c r="E14" s="12"/>
    </row>
    <row r="15" spans="1:7" ht="32" customHeight="1" x14ac:dyDescent="0.2">
      <c r="A15" s="1">
        <v>4</v>
      </c>
      <c r="B15" s="5" t="s">
        <v>17</v>
      </c>
      <c r="C15" s="38">
        <v>3</v>
      </c>
      <c r="D15" s="38">
        <v>3</v>
      </c>
      <c r="E15" s="12"/>
    </row>
    <row r="16" spans="1:7" ht="16" customHeight="1" x14ac:dyDescent="0.2">
      <c r="A16" s="1">
        <v>5</v>
      </c>
      <c r="B16" s="5" t="s">
        <v>18</v>
      </c>
      <c r="C16" s="38">
        <v>3</v>
      </c>
      <c r="D16" s="38">
        <v>3</v>
      </c>
      <c r="E16" s="12"/>
    </row>
    <row r="17" spans="1:5" ht="16" customHeight="1" x14ac:dyDescent="0.2">
      <c r="A17" s="1">
        <v>6</v>
      </c>
      <c r="B17" s="5" t="s">
        <v>19</v>
      </c>
      <c r="C17" s="38">
        <v>5</v>
      </c>
      <c r="D17" s="38">
        <v>5</v>
      </c>
      <c r="E17" s="12"/>
    </row>
    <row r="18" spans="1:5" ht="32" customHeight="1" x14ac:dyDescent="0.2">
      <c r="A18" s="1">
        <v>7</v>
      </c>
      <c r="B18" s="5" t="s">
        <v>20</v>
      </c>
      <c r="C18" s="38">
        <v>3</v>
      </c>
      <c r="D18" s="38">
        <v>3</v>
      </c>
      <c r="E18" s="20"/>
    </row>
    <row r="19" spans="1:5" ht="32" customHeight="1" x14ac:dyDescent="0.2">
      <c r="A19" s="28">
        <v>8</v>
      </c>
      <c r="B19" s="5" t="s">
        <v>21</v>
      </c>
      <c r="C19" s="38">
        <v>3</v>
      </c>
      <c r="D19" s="38">
        <v>3</v>
      </c>
      <c r="E19" s="20"/>
    </row>
    <row r="20" spans="1:5" ht="19" customHeight="1" x14ac:dyDescent="0.2">
      <c r="A20" s="47" t="s">
        <v>22</v>
      </c>
      <c r="B20" s="45"/>
      <c r="C20" s="36">
        <f>SUM(C21:C28)</f>
        <v>24</v>
      </c>
      <c r="D20" s="36">
        <f>SUM(D21:D28)</f>
        <v>24</v>
      </c>
      <c r="E20" s="25"/>
    </row>
    <row r="21" spans="1:5" ht="32" customHeight="1" x14ac:dyDescent="0.2">
      <c r="A21" s="1">
        <v>9</v>
      </c>
      <c r="B21" s="5" t="s">
        <v>23</v>
      </c>
      <c r="C21" s="38">
        <v>3</v>
      </c>
      <c r="D21" s="38">
        <v>3</v>
      </c>
      <c r="E21" s="12"/>
    </row>
    <row r="22" spans="1:5" ht="32" customHeight="1" x14ac:dyDescent="0.2">
      <c r="A22" s="1">
        <v>10</v>
      </c>
      <c r="B22" s="5" t="s">
        <v>24</v>
      </c>
      <c r="C22" s="38">
        <v>3</v>
      </c>
      <c r="D22" s="38">
        <v>3</v>
      </c>
      <c r="E22" s="12"/>
    </row>
    <row r="23" spans="1:5" ht="16" customHeight="1" x14ac:dyDescent="0.2">
      <c r="A23" s="28">
        <v>11</v>
      </c>
      <c r="B23" s="29" t="s">
        <v>25</v>
      </c>
      <c r="C23" s="38">
        <v>3</v>
      </c>
      <c r="D23" s="38">
        <v>3</v>
      </c>
      <c r="E23" s="12"/>
    </row>
    <row r="24" spans="1:5" ht="16" customHeight="1" x14ac:dyDescent="0.2">
      <c r="A24" s="28">
        <v>12</v>
      </c>
      <c r="B24" s="29" t="s">
        <v>26</v>
      </c>
      <c r="C24" s="38">
        <v>3</v>
      </c>
      <c r="D24" s="38">
        <v>3</v>
      </c>
      <c r="E24" s="12"/>
    </row>
    <row r="25" spans="1:5" ht="16" customHeight="1" x14ac:dyDescent="0.2">
      <c r="A25" s="28">
        <v>13</v>
      </c>
      <c r="B25" s="29" t="s">
        <v>27</v>
      </c>
      <c r="C25" s="38">
        <v>3</v>
      </c>
      <c r="D25" s="38">
        <v>3</v>
      </c>
      <c r="E25" s="12"/>
    </row>
    <row r="26" spans="1:5" ht="16" customHeight="1" x14ac:dyDescent="0.2">
      <c r="A26" s="28">
        <v>14</v>
      </c>
      <c r="B26" s="29" t="s">
        <v>28</v>
      </c>
      <c r="C26" s="38">
        <v>3</v>
      </c>
      <c r="D26" s="38">
        <v>3</v>
      </c>
      <c r="E26" s="12"/>
    </row>
    <row r="27" spans="1:5" ht="32" customHeight="1" x14ac:dyDescent="0.2">
      <c r="A27" s="28">
        <v>15</v>
      </c>
      <c r="B27" s="29" t="s">
        <v>29</v>
      </c>
      <c r="C27" s="38">
        <v>3</v>
      </c>
      <c r="D27" s="38">
        <v>3</v>
      </c>
      <c r="E27" s="12"/>
    </row>
    <row r="28" spans="1:5" ht="16" customHeight="1" x14ac:dyDescent="0.2">
      <c r="A28" s="28">
        <v>16</v>
      </c>
      <c r="B28" s="29" t="s">
        <v>30</v>
      </c>
      <c r="C28" s="38">
        <v>3</v>
      </c>
      <c r="D28" s="38">
        <v>3</v>
      </c>
      <c r="E28" s="12"/>
    </row>
    <row r="29" spans="1:5" ht="19" customHeight="1" x14ac:dyDescent="0.2">
      <c r="A29" s="47" t="s">
        <v>31</v>
      </c>
      <c r="B29" s="45"/>
      <c r="C29" s="36">
        <f>C30+C34+C42</f>
        <v>38</v>
      </c>
      <c r="D29" s="36">
        <f>D30+D34+D42</f>
        <v>38</v>
      </c>
      <c r="E29" s="25"/>
    </row>
    <row r="30" spans="1:5" x14ac:dyDescent="0.2">
      <c r="A30" s="44" t="s">
        <v>32</v>
      </c>
      <c r="B30" s="45"/>
      <c r="C30" s="34">
        <f>SUM(C31:C33)</f>
        <v>6</v>
      </c>
      <c r="D30" s="34">
        <f>SUM(D31:D33)</f>
        <v>6</v>
      </c>
      <c r="E30" s="26"/>
    </row>
    <row r="31" spans="1:5" x14ac:dyDescent="0.2">
      <c r="A31" s="9">
        <v>17</v>
      </c>
      <c r="B31" s="8" t="s">
        <v>33</v>
      </c>
      <c r="C31" s="1">
        <v>2</v>
      </c>
      <c r="D31" s="1">
        <v>2</v>
      </c>
      <c r="E31" s="12"/>
    </row>
    <row r="32" spans="1:5" x14ac:dyDescent="0.2">
      <c r="A32" s="9">
        <v>18</v>
      </c>
      <c r="B32" s="8" t="s">
        <v>34</v>
      </c>
      <c r="C32" s="1">
        <v>2</v>
      </c>
      <c r="D32" s="1">
        <v>2</v>
      </c>
      <c r="E32" s="12"/>
    </row>
    <row r="33" spans="1:5" ht="16" customHeight="1" x14ac:dyDescent="0.2">
      <c r="A33" s="9">
        <v>19</v>
      </c>
      <c r="B33" s="5" t="s">
        <v>35</v>
      </c>
      <c r="C33" s="38">
        <v>2</v>
      </c>
      <c r="D33" s="38">
        <v>2</v>
      </c>
      <c r="E33" s="12"/>
    </row>
    <row r="34" spans="1:5" x14ac:dyDescent="0.2">
      <c r="A34" s="44" t="s">
        <v>36</v>
      </c>
      <c r="B34" s="45"/>
      <c r="C34" s="34">
        <f>SUM(C35:C41)</f>
        <v>20</v>
      </c>
      <c r="D34" s="34">
        <f>SUM(D35:D41)</f>
        <v>20</v>
      </c>
      <c r="E34" s="26"/>
    </row>
    <row r="35" spans="1:5" ht="64" customHeight="1" x14ac:dyDescent="0.2">
      <c r="A35" s="9">
        <v>19</v>
      </c>
      <c r="B35" s="5" t="s">
        <v>37</v>
      </c>
      <c r="C35" s="38">
        <v>3</v>
      </c>
      <c r="D35" s="38">
        <v>3</v>
      </c>
      <c r="E35" s="12"/>
    </row>
    <row r="36" spans="1:5" ht="32" customHeight="1" x14ac:dyDescent="0.2">
      <c r="A36" s="9">
        <v>20</v>
      </c>
      <c r="B36" s="5" t="s">
        <v>38</v>
      </c>
      <c r="C36" s="38">
        <v>2</v>
      </c>
      <c r="D36" s="38">
        <v>2</v>
      </c>
      <c r="E36" s="12"/>
    </row>
    <row r="37" spans="1:5" ht="32" customHeight="1" x14ac:dyDescent="0.2">
      <c r="A37" s="9">
        <v>21</v>
      </c>
      <c r="B37" s="5" t="s">
        <v>39</v>
      </c>
      <c r="C37" s="38">
        <v>2</v>
      </c>
      <c r="D37" s="38">
        <v>2</v>
      </c>
      <c r="E37" s="12"/>
    </row>
    <row r="38" spans="1:5" ht="32" customHeight="1" x14ac:dyDescent="0.2">
      <c r="A38" s="9">
        <v>22</v>
      </c>
      <c r="B38" s="18" t="s">
        <v>40</v>
      </c>
      <c r="C38" s="38">
        <v>2</v>
      </c>
      <c r="D38" s="38">
        <v>2</v>
      </c>
      <c r="E38" s="14"/>
    </row>
    <row r="39" spans="1:5" ht="32" customHeight="1" x14ac:dyDescent="0.2">
      <c r="A39" s="9">
        <v>23</v>
      </c>
      <c r="B39" s="5" t="s">
        <v>41</v>
      </c>
      <c r="C39" s="38">
        <v>3</v>
      </c>
      <c r="D39" s="38">
        <v>3</v>
      </c>
      <c r="E39" s="12"/>
    </row>
    <row r="40" spans="1:5" ht="32" customHeight="1" x14ac:dyDescent="0.2">
      <c r="A40" s="9">
        <v>24</v>
      </c>
      <c r="B40" s="18" t="s">
        <v>42</v>
      </c>
      <c r="C40" s="38">
        <v>3</v>
      </c>
      <c r="D40" s="38">
        <v>3</v>
      </c>
      <c r="E40" s="12"/>
    </row>
    <row r="41" spans="1:5" ht="32" customHeight="1" x14ac:dyDescent="0.2">
      <c r="A41" s="9">
        <v>25</v>
      </c>
      <c r="B41" s="18" t="s">
        <v>43</v>
      </c>
      <c r="C41" s="38">
        <v>5</v>
      </c>
      <c r="D41" s="38">
        <v>5</v>
      </c>
      <c r="E41" s="12"/>
    </row>
    <row r="42" spans="1:5" x14ac:dyDescent="0.2">
      <c r="A42" s="44" t="s">
        <v>44</v>
      </c>
      <c r="B42" s="45"/>
      <c r="C42" s="34">
        <f>SUM(C43:C47)</f>
        <v>12</v>
      </c>
      <c r="D42" s="34">
        <f>SUM(D43:D47)</f>
        <v>12</v>
      </c>
      <c r="E42" s="26"/>
    </row>
    <row r="43" spans="1:5" x14ac:dyDescent="0.2">
      <c r="A43" s="1">
        <v>26</v>
      </c>
      <c r="B43" s="19" t="s">
        <v>45</v>
      </c>
      <c r="C43" s="38">
        <v>3</v>
      </c>
      <c r="D43" s="38">
        <v>3</v>
      </c>
      <c r="E43" s="12"/>
    </row>
    <row r="44" spans="1:5" ht="32" customHeight="1" x14ac:dyDescent="0.2">
      <c r="A44" s="1">
        <v>27</v>
      </c>
      <c r="B44" s="18" t="s">
        <v>46</v>
      </c>
      <c r="C44" s="1">
        <v>3</v>
      </c>
      <c r="D44" s="1">
        <v>3</v>
      </c>
      <c r="E44" s="12"/>
    </row>
    <row r="45" spans="1:5" ht="32" customHeight="1" x14ac:dyDescent="0.2">
      <c r="A45" s="1">
        <v>28</v>
      </c>
      <c r="B45" s="18" t="s">
        <v>47</v>
      </c>
      <c r="C45" s="38">
        <v>2</v>
      </c>
      <c r="D45" s="38">
        <v>2</v>
      </c>
      <c r="E45" s="12"/>
    </row>
    <row r="46" spans="1:5" x14ac:dyDescent="0.2">
      <c r="A46" s="1">
        <v>29</v>
      </c>
      <c r="B46" s="8" t="s">
        <v>48</v>
      </c>
      <c r="C46" s="38">
        <v>2</v>
      </c>
      <c r="D46" s="38">
        <v>2</v>
      </c>
      <c r="E46" s="12"/>
    </row>
    <row r="47" spans="1:5" ht="16" customHeight="1" x14ac:dyDescent="0.2">
      <c r="A47" s="1">
        <v>30</v>
      </c>
      <c r="B47" s="5" t="s">
        <v>35</v>
      </c>
      <c r="C47" s="1">
        <v>2</v>
      </c>
      <c r="D47" s="1">
        <v>2</v>
      </c>
      <c r="E47" s="12"/>
    </row>
    <row r="48" spans="1:5" ht="21" customHeight="1" x14ac:dyDescent="0.2">
      <c r="A48" s="62" t="s">
        <v>49</v>
      </c>
      <c r="B48" s="45"/>
      <c r="C48" s="33">
        <f>C49+C58+C67</f>
        <v>76</v>
      </c>
      <c r="D48" s="33">
        <f>D49+D58+D67</f>
        <v>76</v>
      </c>
      <c r="E48" s="27"/>
    </row>
    <row r="49" spans="1:5" x14ac:dyDescent="0.2">
      <c r="A49" s="44" t="s">
        <v>50</v>
      </c>
      <c r="B49" s="45"/>
      <c r="C49" s="34">
        <f>SUM(C50:C57)</f>
        <v>30</v>
      </c>
      <c r="D49" s="34">
        <f>SUM(D50:D57)</f>
        <v>30</v>
      </c>
      <c r="E49" s="26"/>
    </row>
    <row r="50" spans="1:5" ht="32" customHeight="1" x14ac:dyDescent="0.2">
      <c r="A50" s="1">
        <v>30</v>
      </c>
      <c r="B50" s="18" t="s">
        <v>51</v>
      </c>
      <c r="C50" s="38">
        <v>3</v>
      </c>
      <c r="D50" s="38">
        <v>3</v>
      </c>
      <c r="E50" s="20"/>
    </row>
    <row r="51" spans="1:5" ht="32" customHeight="1" x14ac:dyDescent="0.2">
      <c r="A51" s="1">
        <v>31</v>
      </c>
      <c r="B51" s="18" t="s">
        <v>52</v>
      </c>
      <c r="C51" s="38">
        <v>3</v>
      </c>
      <c r="D51" s="38">
        <v>3</v>
      </c>
      <c r="E51" s="20"/>
    </row>
    <row r="52" spans="1:5" ht="32" customHeight="1" x14ac:dyDescent="0.2">
      <c r="A52" s="1">
        <v>32</v>
      </c>
      <c r="B52" s="18" t="s">
        <v>53</v>
      </c>
      <c r="C52" s="38">
        <v>3</v>
      </c>
      <c r="D52" s="38">
        <v>3</v>
      </c>
      <c r="E52" s="12"/>
    </row>
    <row r="53" spans="1:5" ht="32" customHeight="1" x14ac:dyDescent="0.2">
      <c r="A53" s="1">
        <v>33</v>
      </c>
      <c r="B53" s="18" t="s">
        <v>54</v>
      </c>
      <c r="C53" s="38">
        <v>5</v>
      </c>
      <c r="D53" s="38">
        <v>5</v>
      </c>
      <c r="E53" s="12"/>
    </row>
    <row r="54" spans="1:5" ht="32" customHeight="1" x14ac:dyDescent="0.2">
      <c r="A54" s="1">
        <v>34</v>
      </c>
      <c r="B54" s="18" t="s">
        <v>55</v>
      </c>
      <c r="C54" s="38">
        <v>5</v>
      </c>
      <c r="D54" s="38">
        <v>5</v>
      </c>
      <c r="E54" s="12"/>
    </row>
    <row r="55" spans="1:5" ht="32" customHeight="1" x14ac:dyDescent="0.2">
      <c r="A55" s="1">
        <v>35</v>
      </c>
      <c r="B55" s="18" t="s">
        <v>56</v>
      </c>
      <c r="C55" s="38">
        <v>5</v>
      </c>
      <c r="D55" s="38">
        <v>5</v>
      </c>
      <c r="E55" s="14"/>
    </row>
    <row r="56" spans="1:5" ht="32" customHeight="1" x14ac:dyDescent="0.2">
      <c r="A56" s="1">
        <v>36</v>
      </c>
      <c r="B56" s="18" t="s">
        <v>57</v>
      </c>
      <c r="C56" s="38">
        <v>3</v>
      </c>
      <c r="D56" s="38">
        <v>3</v>
      </c>
      <c r="E56" s="12"/>
    </row>
    <row r="57" spans="1:5" ht="32" customHeight="1" x14ac:dyDescent="0.2">
      <c r="A57" s="1">
        <v>37</v>
      </c>
      <c r="B57" s="18" t="s">
        <v>58</v>
      </c>
      <c r="C57" s="38">
        <v>3</v>
      </c>
      <c r="D57" s="38">
        <v>3</v>
      </c>
      <c r="E57" s="12"/>
    </row>
    <row r="58" spans="1:5" x14ac:dyDescent="0.2">
      <c r="A58" s="44" t="s">
        <v>59</v>
      </c>
      <c r="B58" s="45"/>
      <c r="C58" s="34">
        <f>SUM(C59:C66)</f>
        <v>30</v>
      </c>
      <c r="D58" s="34">
        <f>SUM(D59:D66)</f>
        <v>30</v>
      </c>
      <c r="E58" s="26"/>
    </row>
    <row r="59" spans="1:5" ht="32" customHeight="1" x14ac:dyDescent="0.2">
      <c r="A59" s="1">
        <v>38</v>
      </c>
      <c r="B59" s="18" t="s">
        <v>43</v>
      </c>
      <c r="C59" s="38">
        <v>5</v>
      </c>
      <c r="D59" s="38">
        <v>5</v>
      </c>
      <c r="E59" s="20"/>
    </row>
    <row r="60" spans="1:5" ht="32" customHeight="1" x14ac:dyDescent="0.2">
      <c r="A60" s="1">
        <v>39</v>
      </c>
      <c r="B60" s="18" t="s">
        <v>60</v>
      </c>
      <c r="C60" s="38">
        <v>3</v>
      </c>
      <c r="D60" s="38">
        <v>3</v>
      </c>
      <c r="E60" s="20"/>
    </row>
    <row r="61" spans="1:5" ht="32" customHeight="1" x14ac:dyDescent="0.2">
      <c r="A61" s="1">
        <v>40</v>
      </c>
      <c r="B61" s="18" t="s">
        <v>61</v>
      </c>
      <c r="C61" s="38">
        <v>3</v>
      </c>
      <c r="D61" s="38">
        <v>3</v>
      </c>
      <c r="E61" s="14"/>
    </row>
    <row r="62" spans="1:5" ht="16" customHeight="1" x14ac:dyDescent="0.2">
      <c r="A62" s="1">
        <v>41</v>
      </c>
      <c r="B62" s="18" t="s">
        <v>62</v>
      </c>
      <c r="C62" s="38">
        <v>5</v>
      </c>
      <c r="D62" s="38">
        <v>5</v>
      </c>
      <c r="E62" s="12"/>
    </row>
    <row r="63" spans="1:5" ht="16" customHeight="1" x14ac:dyDescent="0.2">
      <c r="A63" s="1">
        <v>42</v>
      </c>
      <c r="B63" s="18" t="s">
        <v>63</v>
      </c>
      <c r="C63" s="38">
        <v>3</v>
      </c>
      <c r="D63" s="38">
        <v>3</v>
      </c>
      <c r="E63" s="18"/>
    </row>
    <row r="64" spans="1:5" ht="32" customHeight="1" x14ac:dyDescent="0.2">
      <c r="A64" s="1">
        <v>43</v>
      </c>
      <c r="B64" s="18" t="s">
        <v>64</v>
      </c>
      <c r="C64" s="38">
        <v>3</v>
      </c>
      <c r="D64" s="38">
        <v>3</v>
      </c>
      <c r="E64" s="18"/>
    </row>
    <row r="65" spans="1:5" ht="32" customHeight="1" x14ac:dyDescent="0.2">
      <c r="A65" s="1">
        <v>44</v>
      </c>
      <c r="B65" s="18" t="s">
        <v>65</v>
      </c>
      <c r="C65" s="38">
        <v>5</v>
      </c>
      <c r="D65" s="38">
        <v>5</v>
      </c>
      <c r="E65" s="12"/>
    </row>
    <row r="66" spans="1:5" ht="32" customHeight="1" x14ac:dyDescent="0.2">
      <c r="A66" s="1">
        <v>45</v>
      </c>
      <c r="B66" s="18" t="s">
        <v>66</v>
      </c>
      <c r="C66" s="38">
        <v>3</v>
      </c>
      <c r="D66" s="38">
        <v>3</v>
      </c>
      <c r="E66" s="12"/>
    </row>
    <row r="67" spans="1:5" x14ac:dyDescent="0.2">
      <c r="A67" s="44" t="s">
        <v>67</v>
      </c>
      <c r="B67" s="45"/>
      <c r="C67" s="34">
        <f>SUM(C68:C71)</f>
        <v>16</v>
      </c>
      <c r="D67" s="34">
        <f>SUM(D68:D71)</f>
        <v>16</v>
      </c>
      <c r="E67" s="26"/>
    </row>
    <row r="68" spans="1:5" ht="32" customHeight="1" x14ac:dyDescent="0.2">
      <c r="A68" s="1">
        <v>46</v>
      </c>
      <c r="B68" s="18" t="s">
        <v>68</v>
      </c>
      <c r="C68" s="38">
        <v>5</v>
      </c>
      <c r="D68" s="38">
        <v>5</v>
      </c>
      <c r="E68" s="12"/>
    </row>
    <row r="69" spans="1:5" ht="32" customHeight="1" x14ac:dyDescent="0.2">
      <c r="A69" s="1">
        <v>47</v>
      </c>
      <c r="B69" s="18" t="s">
        <v>69</v>
      </c>
      <c r="C69" s="38">
        <v>3</v>
      </c>
      <c r="D69" s="38">
        <v>3</v>
      </c>
      <c r="E69" s="12"/>
    </row>
    <row r="70" spans="1:5" ht="32" customHeight="1" x14ac:dyDescent="0.2">
      <c r="A70" s="1">
        <v>48</v>
      </c>
      <c r="B70" s="18" t="s">
        <v>70</v>
      </c>
      <c r="C70" s="38">
        <v>3</v>
      </c>
      <c r="D70" s="38">
        <v>3</v>
      </c>
      <c r="E70" s="14"/>
    </row>
    <row r="71" spans="1:5" ht="32" customHeight="1" x14ac:dyDescent="0.2">
      <c r="A71" s="1">
        <v>49</v>
      </c>
      <c r="B71" s="18" t="s">
        <v>71</v>
      </c>
      <c r="C71" s="38">
        <v>5</v>
      </c>
      <c r="D71" s="38">
        <v>5</v>
      </c>
      <c r="E71" s="12"/>
    </row>
    <row r="72" spans="1:5" ht="19" customHeight="1" x14ac:dyDescent="0.2">
      <c r="A72" s="47" t="s">
        <v>72</v>
      </c>
      <c r="B72" s="45"/>
      <c r="C72" s="36">
        <f>C73+C77+C83</f>
        <v>42</v>
      </c>
      <c r="D72" s="36">
        <f>D73+D77+D83</f>
        <v>42</v>
      </c>
      <c r="E72" s="25"/>
    </row>
    <row r="73" spans="1:5" x14ac:dyDescent="0.2">
      <c r="A73" s="44" t="s">
        <v>73</v>
      </c>
      <c r="B73" s="45"/>
      <c r="C73" s="34">
        <f>SUM(C74:C76)</f>
        <v>7</v>
      </c>
      <c r="D73" s="34">
        <f>SUM(D74:D76)</f>
        <v>7</v>
      </c>
      <c r="E73" s="26"/>
    </row>
    <row r="74" spans="1:5" ht="32" customHeight="1" x14ac:dyDescent="0.2">
      <c r="A74" s="1">
        <v>50</v>
      </c>
      <c r="B74" s="18" t="s">
        <v>74</v>
      </c>
      <c r="C74" s="38">
        <v>3</v>
      </c>
      <c r="D74" s="38">
        <v>3</v>
      </c>
      <c r="E74" s="12"/>
    </row>
    <row r="75" spans="1:5" ht="32" customHeight="1" x14ac:dyDescent="0.2">
      <c r="A75" s="1">
        <v>51</v>
      </c>
      <c r="B75" s="18" t="s">
        <v>75</v>
      </c>
      <c r="C75" s="38">
        <v>2</v>
      </c>
      <c r="D75" s="38">
        <v>2</v>
      </c>
      <c r="E75" s="12"/>
    </row>
    <row r="76" spans="1:5" ht="32" customHeight="1" x14ac:dyDescent="0.2">
      <c r="A76" s="1">
        <v>52</v>
      </c>
      <c r="B76" s="18" t="s">
        <v>76</v>
      </c>
      <c r="C76" s="38">
        <v>2</v>
      </c>
      <c r="D76" s="38">
        <v>2</v>
      </c>
      <c r="E76" s="12"/>
    </row>
    <row r="77" spans="1:5" x14ac:dyDescent="0.2">
      <c r="A77" s="44" t="s">
        <v>77</v>
      </c>
      <c r="B77" s="45"/>
      <c r="C77" s="34">
        <f>SUM(C78:C82)</f>
        <v>15</v>
      </c>
      <c r="D77" s="34">
        <f>SUM(D78:D82)</f>
        <v>15</v>
      </c>
      <c r="E77" s="26"/>
    </row>
    <row r="78" spans="1:5" ht="32" customHeight="1" x14ac:dyDescent="0.2">
      <c r="A78" s="1">
        <v>53</v>
      </c>
      <c r="B78" s="18" t="s">
        <v>78</v>
      </c>
      <c r="C78" s="38">
        <v>3</v>
      </c>
      <c r="D78" s="38">
        <v>3</v>
      </c>
      <c r="E78" s="12"/>
    </row>
    <row r="79" spans="1:5" ht="32" customHeight="1" x14ac:dyDescent="0.2">
      <c r="A79" s="1">
        <v>54</v>
      </c>
      <c r="B79" s="18" t="s">
        <v>79</v>
      </c>
      <c r="C79" s="38">
        <v>3</v>
      </c>
      <c r="D79" s="38">
        <v>3</v>
      </c>
      <c r="E79" s="12"/>
    </row>
    <row r="80" spans="1:5" ht="32" customHeight="1" x14ac:dyDescent="0.2">
      <c r="A80" s="1">
        <v>55</v>
      </c>
      <c r="B80" s="18" t="s">
        <v>80</v>
      </c>
      <c r="C80" s="38">
        <v>3</v>
      </c>
      <c r="D80" s="38">
        <v>3</v>
      </c>
      <c r="E80" s="12"/>
    </row>
    <row r="81" spans="1:5" ht="32" customHeight="1" x14ac:dyDescent="0.2">
      <c r="A81" s="1">
        <v>56</v>
      </c>
      <c r="B81" s="18" t="s">
        <v>81</v>
      </c>
      <c r="C81" s="38">
        <v>3</v>
      </c>
      <c r="D81" s="38">
        <v>3</v>
      </c>
      <c r="E81" s="12"/>
    </row>
    <row r="82" spans="1:5" ht="16" customHeight="1" x14ac:dyDescent="0.2">
      <c r="A82" s="1">
        <v>57</v>
      </c>
      <c r="B82" s="18" t="s">
        <v>82</v>
      </c>
      <c r="C82" s="38">
        <v>3</v>
      </c>
      <c r="D82" s="38">
        <v>3</v>
      </c>
      <c r="E82" s="12"/>
    </row>
    <row r="83" spans="1:5" x14ac:dyDescent="0.2">
      <c r="A83" s="44" t="s">
        <v>83</v>
      </c>
      <c r="B83" s="45"/>
      <c r="C83" s="34">
        <f>SUM(C84:C87)</f>
        <v>20</v>
      </c>
      <c r="D83" s="34">
        <f>SUM(D84:D87)</f>
        <v>20</v>
      </c>
      <c r="E83" s="26"/>
    </row>
    <row r="84" spans="1:5" ht="32" customHeight="1" x14ac:dyDescent="0.2">
      <c r="A84" s="1">
        <v>58</v>
      </c>
      <c r="B84" s="18" t="s">
        <v>84</v>
      </c>
      <c r="C84" s="38">
        <v>5</v>
      </c>
      <c r="D84" s="38">
        <v>5</v>
      </c>
      <c r="E84" s="20"/>
    </row>
    <row r="85" spans="1:5" ht="32" customHeight="1" x14ac:dyDescent="0.2">
      <c r="A85" s="1">
        <v>59</v>
      </c>
      <c r="B85" s="18" t="s">
        <v>85</v>
      </c>
      <c r="C85" s="38">
        <v>5</v>
      </c>
      <c r="D85" s="38">
        <v>5</v>
      </c>
      <c r="E85" s="12"/>
    </row>
    <row r="86" spans="1:5" ht="16" customHeight="1" x14ac:dyDescent="0.2">
      <c r="A86" s="1">
        <v>60</v>
      </c>
      <c r="B86" s="18" t="s">
        <v>86</v>
      </c>
      <c r="C86" s="38">
        <v>5</v>
      </c>
      <c r="D86" s="38">
        <v>5</v>
      </c>
      <c r="E86" s="12"/>
    </row>
    <row r="87" spans="1:5" ht="16" customHeight="1" x14ac:dyDescent="0.2">
      <c r="A87" s="1">
        <v>61</v>
      </c>
      <c r="B87" s="18" t="s">
        <v>87</v>
      </c>
      <c r="C87" s="38">
        <v>5</v>
      </c>
      <c r="D87" s="38">
        <v>5</v>
      </c>
      <c r="E87" s="14"/>
    </row>
    <row r="88" spans="1:5" ht="19" customHeight="1" x14ac:dyDescent="0.2">
      <c r="A88" s="47" t="s">
        <v>88</v>
      </c>
      <c r="B88" s="45"/>
      <c r="C88" s="36">
        <f>C89+C97+C107</f>
        <v>128</v>
      </c>
      <c r="D88" s="36">
        <f>D89+D97+D107</f>
        <v>128</v>
      </c>
      <c r="E88" s="25"/>
    </row>
    <row r="89" spans="1:5" x14ac:dyDescent="0.2">
      <c r="A89" s="44" t="s">
        <v>89</v>
      </c>
      <c r="B89" s="45"/>
      <c r="C89" s="34">
        <f>SUM(C90:C96)</f>
        <v>19</v>
      </c>
      <c r="D89" s="34">
        <f>SUM(D90:D96)</f>
        <v>19</v>
      </c>
      <c r="E89" s="26"/>
    </row>
    <row r="90" spans="1:5" x14ac:dyDescent="0.2">
      <c r="A90" s="1">
        <v>62</v>
      </c>
      <c r="B90" s="19" t="s">
        <v>90</v>
      </c>
      <c r="C90" s="1">
        <v>3</v>
      </c>
      <c r="D90" s="1">
        <v>3</v>
      </c>
      <c r="E90" s="14"/>
    </row>
    <row r="91" spans="1:5" x14ac:dyDescent="0.2">
      <c r="A91" s="1">
        <v>63</v>
      </c>
      <c r="B91" s="19" t="s">
        <v>91</v>
      </c>
      <c r="C91" s="1">
        <v>3</v>
      </c>
      <c r="D91" s="1">
        <v>3</v>
      </c>
      <c r="E91" s="20"/>
    </row>
    <row r="92" spans="1:5" x14ac:dyDescent="0.2">
      <c r="A92" s="1">
        <v>64</v>
      </c>
      <c r="B92" s="19" t="s">
        <v>92</v>
      </c>
      <c r="C92" s="1">
        <v>2</v>
      </c>
      <c r="D92" s="1">
        <v>2</v>
      </c>
      <c r="E92" s="20"/>
    </row>
    <row r="93" spans="1:5" x14ac:dyDescent="0.2">
      <c r="A93" s="1">
        <v>65</v>
      </c>
      <c r="B93" s="19" t="s">
        <v>93</v>
      </c>
      <c r="C93" s="1">
        <v>3</v>
      </c>
      <c r="D93" s="1">
        <v>3</v>
      </c>
      <c r="E93" s="20"/>
    </row>
    <row r="94" spans="1:5" ht="32" customHeight="1" x14ac:dyDescent="0.2">
      <c r="A94" s="1">
        <v>66</v>
      </c>
      <c r="B94" s="18" t="s">
        <v>94</v>
      </c>
      <c r="C94" s="4">
        <v>3</v>
      </c>
      <c r="D94" s="4">
        <v>3</v>
      </c>
    </row>
    <row r="95" spans="1:5" ht="32" customHeight="1" x14ac:dyDescent="0.2">
      <c r="A95" s="1">
        <v>67</v>
      </c>
      <c r="B95" s="18" t="s">
        <v>95</v>
      </c>
      <c r="C95" s="38">
        <v>3</v>
      </c>
      <c r="D95" s="38">
        <v>3</v>
      </c>
      <c r="E95" s="21"/>
    </row>
    <row r="96" spans="1:5" ht="32" customHeight="1" x14ac:dyDescent="0.2">
      <c r="A96" s="28">
        <v>68</v>
      </c>
      <c r="B96" s="30" t="s">
        <v>96</v>
      </c>
      <c r="C96" s="38">
        <v>2</v>
      </c>
      <c r="D96" s="38">
        <v>2</v>
      </c>
      <c r="E96" s="21"/>
    </row>
    <row r="97" spans="1:5" x14ac:dyDescent="0.2">
      <c r="A97" s="44" t="s">
        <v>97</v>
      </c>
      <c r="B97" s="45"/>
      <c r="C97" s="34">
        <f>SUM(C98:C106)</f>
        <v>33</v>
      </c>
      <c r="D97" s="34">
        <f>SUM(D98:D106)</f>
        <v>33</v>
      </c>
      <c r="E97" s="26"/>
    </row>
    <row r="98" spans="1:5" ht="32" customHeight="1" x14ac:dyDescent="0.2">
      <c r="A98" s="1">
        <v>69</v>
      </c>
      <c r="B98" s="18" t="s">
        <v>98</v>
      </c>
      <c r="C98" s="38">
        <v>3</v>
      </c>
      <c r="D98" s="38">
        <v>3</v>
      </c>
      <c r="E98" s="20"/>
    </row>
    <row r="99" spans="1:5" ht="32" customHeight="1" x14ac:dyDescent="0.2">
      <c r="A99" s="1">
        <v>70</v>
      </c>
      <c r="B99" s="18" t="s">
        <v>99</v>
      </c>
      <c r="C99" s="38">
        <v>3</v>
      </c>
      <c r="D99" s="38">
        <v>3</v>
      </c>
      <c r="E99" s="12"/>
    </row>
    <row r="100" spans="1:5" ht="32" customHeight="1" x14ac:dyDescent="0.2">
      <c r="A100" s="1">
        <v>71</v>
      </c>
      <c r="B100" s="18" t="s">
        <v>100</v>
      </c>
      <c r="C100" s="38">
        <v>3</v>
      </c>
      <c r="D100" s="38">
        <v>3</v>
      </c>
      <c r="E100" s="12"/>
    </row>
    <row r="101" spans="1:5" ht="16" customHeight="1" x14ac:dyDescent="0.2">
      <c r="A101" s="1">
        <v>72</v>
      </c>
      <c r="B101" s="18" t="s">
        <v>101</v>
      </c>
      <c r="C101" s="38">
        <v>3</v>
      </c>
      <c r="D101" s="38">
        <v>3</v>
      </c>
      <c r="E101" s="12"/>
    </row>
    <row r="102" spans="1:5" ht="32" customHeight="1" x14ac:dyDescent="0.2">
      <c r="A102" s="1">
        <v>73</v>
      </c>
      <c r="B102" s="18" t="s">
        <v>102</v>
      </c>
      <c r="C102" s="38">
        <v>5</v>
      </c>
      <c r="D102" s="38">
        <v>5</v>
      </c>
      <c r="E102" s="12"/>
    </row>
    <row r="103" spans="1:5" ht="32" customHeight="1" x14ac:dyDescent="0.2">
      <c r="A103" s="1">
        <v>74</v>
      </c>
      <c r="B103" s="18" t="s">
        <v>103</v>
      </c>
      <c r="C103" s="38">
        <v>5</v>
      </c>
      <c r="D103" s="38">
        <v>5</v>
      </c>
      <c r="E103" s="14"/>
    </row>
    <row r="104" spans="1:5" ht="32" customHeight="1" x14ac:dyDescent="0.2">
      <c r="A104" s="1">
        <v>75</v>
      </c>
      <c r="B104" s="18" t="s">
        <v>104</v>
      </c>
      <c r="C104" s="38">
        <v>3</v>
      </c>
      <c r="D104" s="38">
        <v>3</v>
      </c>
      <c r="E104" s="14"/>
    </row>
    <row r="105" spans="1:5" ht="32" customHeight="1" x14ac:dyDescent="0.2">
      <c r="A105" s="1">
        <v>76</v>
      </c>
      <c r="B105" s="23" t="s">
        <v>105</v>
      </c>
      <c r="C105" s="38">
        <v>3</v>
      </c>
      <c r="D105" s="38">
        <v>3</v>
      </c>
      <c r="E105" s="12"/>
    </row>
    <row r="106" spans="1:5" ht="64" customHeight="1" x14ac:dyDescent="0.2">
      <c r="A106" s="28">
        <v>77</v>
      </c>
      <c r="B106" s="23" t="s">
        <v>106</v>
      </c>
      <c r="C106" s="38">
        <v>5</v>
      </c>
      <c r="D106" s="38">
        <v>5</v>
      </c>
      <c r="E106" s="12"/>
    </row>
    <row r="107" spans="1:5" ht="30" customHeight="1" x14ac:dyDescent="0.2">
      <c r="A107" s="54" t="s">
        <v>107</v>
      </c>
      <c r="B107" s="45"/>
      <c r="C107" s="34">
        <f>SUM(C108:C132)</f>
        <v>76</v>
      </c>
      <c r="D107" s="34">
        <f>SUM(D108:D132)</f>
        <v>76</v>
      </c>
      <c r="E107" s="26"/>
    </row>
    <row r="108" spans="1:5" ht="30" customHeight="1" x14ac:dyDescent="0.2">
      <c r="A108" s="1">
        <v>78</v>
      </c>
      <c r="B108" s="19" t="s">
        <v>108</v>
      </c>
      <c r="C108" s="1">
        <v>3</v>
      </c>
      <c r="D108" s="1">
        <v>3</v>
      </c>
      <c r="E108" s="12"/>
    </row>
    <row r="109" spans="1:5" ht="30" customHeight="1" x14ac:dyDescent="0.2">
      <c r="A109" s="1">
        <v>79</v>
      </c>
      <c r="B109" s="19" t="s">
        <v>109</v>
      </c>
      <c r="C109" s="1">
        <v>3</v>
      </c>
      <c r="D109" s="1">
        <v>3</v>
      </c>
      <c r="E109" s="12"/>
    </row>
    <row r="110" spans="1:5" ht="30" customHeight="1" x14ac:dyDescent="0.2">
      <c r="A110" s="1">
        <v>80</v>
      </c>
      <c r="B110" s="19" t="s">
        <v>110</v>
      </c>
      <c r="C110" s="1">
        <v>3</v>
      </c>
      <c r="D110" s="1">
        <v>3</v>
      </c>
      <c r="E110" s="12"/>
    </row>
    <row r="111" spans="1:5" ht="32" customHeight="1" x14ac:dyDescent="0.2">
      <c r="A111" s="1">
        <v>81</v>
      </c>
      <c r="B111" s="18" t="s">
        <v>111</v>
      </c>
      <c r="C111" s="1">
        <v>3</v>
      </c>
      <c r="D111" s="1">
        <v>3</v>
      </c>
      <c r="E111" s="12"/>
    </row>
    <row r="112" spans="1:5" x14ac:dyDescent="0.2">
      <c r="A112" s="1">
        <v>82</v>
      </c>
      <c r="B112" s="19" t="s">
        <v>112</v>
      </c>
      <c r="C112" s="1">
        <v>3</v>
      </c>
      <c r="D112" s="1">
        <v>3</v>
      </c>
      <c r="E112" s="12"/>
    </row>
    <row r="113" spans="1:5" x14ac:dyDescent="0.2">
      <c r="A113" s="1">
        <v>83</v>
      </c>
      <c r="B113" s="17" t="s">
        <v>113</v>
      </c>
      <c r="C113" s="1">
        <v>3</v>
      </c>
      <c r="D113" s="1">
        <v>3</v>
      </c>
      <c r="E113" s="12"/>
    </row>
    <row r="114" spans="1:5" x14ac:dyDescent="0.2">
      <c r="A114" s="1">
        <v>84</v>
      </c>
      <c r="B114" s="19" t="s">
        <v>114</v>
      </c>
      <c r="C114" s="1">
        <v>3</v>
      </c>
      <c r="D114" s="1">
        <v>3</v>
      </c>
      <c r="E114" s="12"/>
    </row>
    <row r="115" spans="1:5" x14ac:dyDescent="0.2">
      <c r="A115" s="1">
        <v>85</v>
      </c>
      <c r="B115" s="19" t="s">
        <v>115</v>
      </c>
      <c r="C115" s="1">
        <v>3</v>
      </c>
      <c r="D115" s="1">
        <v>3</v>
      </c>
      <c r="E115" s="12"/>
    </row>
    <row r="116" spans="1:5" x14ac:dyDescent="0.2">
      <c r="A116" s="1">
        <v>86</v>
      </c>
      <c r="B116" s="19" t="s">
        <v>116</v>
      </c>
      <c r="C116" s="1">
        <v>3</v>
      </c>
      <c r="D116" s="1">
        <v>3</v>
      </c>
      <c r="E116" s="12"/>
    </row>
    <row r="117" spans="1:5" x14ac:dyDescent="0.2">
      <c r="A117" s="1">
        <v>87</v>
      </c>
      <c r="B117" s="19" t="s">
        <v>117</v>
      </c>
      <c r="C117" s="1">
        <v>3</v>
      </c>
      <c r="D117" s="1">
        <v>3</v>
      </c>
      <c r="E117" s="12"/>
    </row>
    <row r="118" spans="1:5" x14ac:dyDescent="0.2">
      <c r="A118" s="1">
        <v>88</v>
      </c>
      <c r="B118" s="19" t="s">
        <v>118</v>
      </c>
      <c r="C118" s="1">
        <v>3</v>
      </c>
      <c r="D118" s="1">
        <v>3</v>
      </c>
      <c r="E118" s="12"/>
    </row>
    <row r="119" spans="1:5" x14ac:dyDescent="0.2">
      <c r="A119" s="1">
        <v>89</v>
      </c>
      <c r="B119" s="19" t="s">
        <v>119</v>
      </c>
      <c r="C119" s="1">
        <v>3</v>
      </c>
      <c r="D119" s="1">
        <v>3</v>
      </c>
      <c r="E119" s="14"/>
    </row>
    <row r="120" spans="1:5" x14ac:dyDescent="0.2">
      <c r="A120" s="1">
        <v>90</v>
      </c>
      <c r="B120" s="19" t="s">
        <v>120</v>
      </c>
      <c r="C120" s="38">
        <v>3</v>
      </c>
      <c r="D120" s="38">
        <v>3</v>
      </c>
      <c r="E120" s="12"/>
    </row>
    <row r="121" spans="1:5" x14ac:dyDescent="0.2">
      <c r="A121" s="1">
        <v>91</v>
      </c>
      <c r="B121" s="19" t="s">
        <v>121</v>
      </c>
      <c r="C121" s="39">
        <v>3</v>
      </c>
      <c r="D121" s="39">
        <v>3</v>
      </c>
      <c r="E121" s="22"/>
    </row>
    <row r="122" spans="1:5" x14ac:dyDescent="0.2">
      <c r="A122" s="1">
        <v>92</v>
      </c>
      <c r="B122" s="19" t="s">
        <v>122</v>
      </c>
      <c r="C122" s="1">
        <v>3</v>
      </c>
      <c r="D122" s="1">
        <v>3</v>
      </c>
      <c r="E122" s="12"/>
    </row>
    <row r="123" spans="1:5" x14ac:dyDescent="0.2">
      <c r="A123" s="1">
        <v>93</v>
      </c>
      <c r="B123" s="19" t="s">
        <v>123</v>
      </c>
      <c r="C123" s="1">
        <v>3</v>
      </c>
      <c r="D123" s="1">
        <v>3</v>
      </c>
      <c r="E123" s="12"/>
    </row>
    <row r="124" spans="1:5" x14ac:dyDescent="0.2">
      <c r="A124" s="1">
        <v>94</v>
      </c>
      <c r="B124" s="19" t="s">
        <v>124</v>
      </c>
      <c r="C124" s="1">
        <v>3</v>
      </c>
      <c r="D124" s="1">
        <v>3</v>
      </c>
      <c r="E124" s="12"/>
    </row>
    <row r="125" spans="1:5" x14ac:dyDescent="0.2">
      <c r="A125" s="1">
        <v>95</v>
      </c>
      <c r="B125" s="19" t="s">
        <v>125</v>
      </c>
      <c r="C125" s="1">
        <v>3</v>
      </c>
      <c r="D125" s="1">
        <v>3</v>
      </c>
      <c r="E125" s="12"/>
    </row>
    <row r="126" spans="1:5" x14ac:dyDescent="0.2">
      <c r="A126" s="1">
        <v>96</v>
      </c>
      <c r="B126" s="19" t="s">
        <v>126</v>
      </c>
      <c r="C126" s="1">
        <v>3</v>
      </c>
      <c r="D126" s="1">
        <v>3</v>
      </c>
      <c r="E126" s="14"/>
    </row>
    <row r="127" spans="1:5" x14ac:dyDescent="0.2">
      <c r="A127" s="1">
        <v>97</v>
      </c>
      <c r="B127" s="19" t="s">
        <v>127</v>
      </c>
      <c r="C127" s="1">
        <v>3</v>
      </c>
      <c r="D127" s="1">
        <v>3</v>
      </c>
      <c r="E127" s="32"/>
    </row>
    <row r="128" spans="1:5" x14ac:dyDescent="0.2">
      <c r="A128" s="1">
        <v>98</v>
      </c>
      <c r="B128" s="17" t="s">
        <v>128</v>
      </c>
      <c r="C128" s="40">
        <v>3</v>
      </c>
      <c r="D128" s="40">
        <v>3</v>
      </c>
      <c r="E128" s="31"/>
    </row>
    <row r="129" spans="1:5" x14ac:dyDescent="0.2">
      <c r="A129" s="1">
        <v>99</v>
      </c>
      <c r="B129" s="19" t="s">
        <v>129</v>
      </c>
      <c r="C129" s="1">
        <v>3</v>
      </c>
      <c r="D129" s="1">
        <v>3</v>
      </c>
      <c r="E129" s="12"/>
    </row>
    <row r="130" spans="1:5" x14ac:dyDescent="0.2">
      <c r="A130" s="1">
        <v>100</v>
      </c>
      <c r="B130" s="17" t="s">
        <v>130</v>
      </c>
      <c r="C130" s="1">
        <v>5</v>
      </c>
      <c r="D130" s="1">
        <v>5</v>
      </c>
      <c r="E130" s="12"/>
    </row>
    <row r="131" spans="1:5" x14ac:dyDescent="0.2">
      <c r="A131" s="1">
        <v>101</v>
      </c>
      <c r="B131" s="17" t="s">
        <v>131</v>
      </c>
      <c r="C131" s="1">
        <v>3</v>
      </c>
      <c r="D131" s="1">
        <v>3</v>
      </c>
      <c r="E131" s="12"/>
    </row>
    <row r="132" spans="1:5" x14ac:dyDescent="0.2">
      <c r="A132" s="1">
        <v>102</v>
      </c>
      <c r="B132" s="17" t="s">
        <v>132</v>
      </c>
      <c r="C132" s="1">
        <v>2</v>
      </c>
      <c r="D132" s="1">
        <v>2</v>
      </c>
      <c r="E132" s="14"/>
    </row>
    <row r="133" spans="1:5" ht="15" customHeight="1" x14ac:dyDescent="0.2">
      <c r="A133" s="54" t="s">
        <v>133</v>
      </c>
      <c r="B133" s="45"/>
      <c r="C133" s="34">
        <f>SUM(C134:C140)</f>
        <v>21</v>
      </c>
      <c r="D133" s="34">
        <f>SUM(D134:D140)</f>
        <v>21</v>
      </c>
      <c r="E133" s="26"/>
    </row>
    <row r="134" spans="1:5" x14ac:dyDescent="0.2">
      <c r="A134" s="1">
        <v>102</v>
      </c>
      <c r="B134" s="17" t="s">
        <v>134</v>
      </c>
      <c r="C134" s="38">
        <v>3</v>
      </c>
      <c r="D134" s="38">
        <v>3</v>
      </c>
      <c r="E134" s="12"/>
    </row>
    <row r="135" spans="1:5" ht="16" customHeight="1" x14ac:dyDescent="0.2">
      <c r="A135" s="1">
        <v>103</v>
      </c>
      <c r="B135" s="18" t="s">
        <v>135</v>
      </c>
      <c r="C135" s="38">
        <v>3</v>
      </c>
      <c r="D135" s="38">
        <v>3</v>
      </c>
      <c r="E135" s="12"/>
    </row>
    <row r="136" spans="1:5" ht="16" customHeight="1" x14ac:dyDescent="0.2">
      <c r="A136" s="1">
        <v>104</v>
      </c>
      <c r="B136" s="18" t="s">
        <v>136</v>
      </c>
      <c r="C136" s="38">
        <v>3</v>
      </c>
      <c r="D136" s="38">
        <v>3</v>
      </c>
      <c r="E136" s="12"/>
    </row>
    <row r="137" spans="1:5" x14ac:dyDescent="0.2">
      <c r="A137" s="1">
        <v>105</v>
      </c>
      <c r="B137" s="19" t="s">
        <v>137</v>
      </c>
      <c r="C137" s="38">
        <v>3</v>
      </c>
      <c r="D137" s="38">
        <v>3</v>
      </c>
      <c r="E137" s="12"/>
    </row>
    <row r="138" spans="1:5" ht="16" customHeight="1" x14ac:dyDescent="0.2">
      <c r="A138" s="1">
        <v>106</v>
      </c>
      <c r="B138" s="18" t="s">
        <v>138</v>
      </c>
      <c r="C138" s="38">
        <v>3</v>
      </c>
      <c r="D138" s="38">
        <v>3</v>
      </c>
      <c r="E138" s="12"/>
    </row>
    <row r="139" spans="1:5" ht="32" customHeight="1" x14ac:dyDescent="0.2">
      <c r="A139" s="1">
        <v>107</v>
      </c>
      <c r="B139" s="18" t="s">
        <v>139</v>
      </c>
      <c r="C139" s="38">
        <v>3</v>
      </c>
      <c r="D139" s="38">
        <v>3</v>
      </c>
      <c r="E139" s="12"/>
    </row>
    <row r="140" spans="1:5" ht="16" customHeight="1" x14ac:dyDescent="0.2">
      <c r="A140" s="1">
        <v>108</v>
      </c>
      <c r="B140" s="18" t="s">
        <v>140</v>
      </c>
      <c r="C140" s="38">
        <v>3</v>
      </c>
      <c r="D140" s="38">
        <v>3</v>
      </c>
      <c r="E140" s="12"/>
    </row>
    <row r="141" spans="1:5" ht="19" customHeight="1" x14ac:dyDescent="0.2">
      <c r="A141" s="47" t="s">
        <v>141</v>
      </c>
      <c r="B141" s="45"/>
      <c r="C141" s="36">
        <f>C142+C147</f>
        <v>50</v>
      </c>
      <c r="D141" s="36">
        <f>D142+D147</f>
        <v>50</v>
      </c>
      <c r="E141" s="25"/>
    </row>
    <row r="142" spans="1:5" x14ac:dyDescent="0.2">
      <c r="A142" s="44" t="s">
        <v>142</v>
      </c>
      <c r="B142" s="45"/>
      <c r="C142" s="34">
        <f>SUM(C143:C146)</f>
        <v>20</v>
      </c>
      <c r="D142" s="34">
        <f>SUM(D143:D146)</f>
        <v>20</v>
      </c>
      <c r="E142" s="26"/>
    </row>
    <row r="143" spans="1:5" ht="32" customHeight="1" x14ac:dyDescent="0.2">
      <c r="A143" s="1">
        <v>109</v>
      </c>
      <c r="B143" s="18" t="s">
        <v>143</v>
      </c>
      <c r="C143" s="38">
        <v>5</v>
      </c>
      <c r="D143" s="38">
        <v>5</v>
      </c>
      <c r="E143" s="14"/>
    </row>
    <row r="144" spans="1:5" ht="48" customHeight="1" x14ac:dyDescent="0.2">
      <c r="A144" s="1">
        <v>110</v>
      </c>
      <c r="B144" s="18" t="s">
        <v>144</v>
      </c>
      <c r="C144" s="38">
        <v>5</v>
      </c>
      <c r="D144" s="38">
        <v>5</v>
      </c>
      <c r="E144" s="12"/>
    </row>
    <row r="145" spans="1:5" ht="32" customHeight="1" x14ac:dyDescent="0.2">
      <c r="A145" s="1">
        <v>111</v>
      </c>
      <c r="B145" s="18" t="s">
        <v>145</v>
      </c>
      <c r="C145" s="38">
        <v>5</v>
      </c>
      <c r="D145" s="38">
        <v>5</v>
      </c>
      <c r="E145" s="12"/>
    </row>
    <row r="146" spans="1:5" ht="32" customHeight="1" x14ac:dyDescent="0.2">
      <c r="A146" s="1">
        <v>112</v>
      </c>
      <c r="B146" s="18" t="s">
        <v>146</v>
      </c>
      <c r="C146" s="38">
        <v>5</v>
      </c>
      <c r="D146" s="38">
        <v>5</v>
      </c>
      <c r="E146" s="12"/>
    </row>
    <row r="147" spans="1:5" x14ac:dyDescent="0.2">
      <c r="A147" s="44" t="s">
        <v>147</v>
      </c>
      <c r="B147" s="45"/>
      <c r="C147" s="34">
        <f>SUM(C148:C153)</f>
        <v>30</v>
      </c>
      <c r="D147" s="34">
        <f>SUM(D148:D153)</f>
        <v>30</v>
      </c>
      <c r="E147" s="26"/>
    </row>
    <row r="148" spans="1:5" ht="32" customHeight="1" x14ac:dyDescent="0.2">
      <c r="A148" s="1">
        <v>113</v>
      </c>
      <c r="B148" s="18" t="s">
        <v>148</v>
      </c>
      <c r="C148" s="38">
        <v>5</v>
      </c>
      <c r="D148" s="38">
        <v>5</v>
      </c>
      <c r="E148" s="12"/>
    </row>
    <row r="149" spans="1:5" x14ac:dyDescent="0.2">
      <c r="A149" s="1">
        <v>114</v>
      </c>
      <c r="B149" s="19" t="s">
        <v>149</v>
      </c>
      <c r="C149" s="1">
        <v>5</v>
      </c>
      <c r="D149" s="1">
        <v>5</v>
      </c>
      <c r="E149" s="20"/>
    </row>
    <row r="150" spans="1:5" ht="32" customHeight="1" x14ac:dyDescent="0.2">
      <c r="A150" s="1">
        <v>115</v>
      </c>
      <c r="B150" s="18" t="s">
        <v>150</v>
      </c>
      <c r="C150" s="38">
        <v>5</v>
      </c>
      <c r="D150" s="38">
        <v>5</v>
      </c>
      <c r="E150" s="20"/>
    </row>
    <row r="151" spans="1:5" ht="32" customHeight="1" x14ac:dyDescent="0.2">
      <c r="A151" s="1">
        <v>116</v>
      </c>
      <c r="B151" s="18" t="s">
        <v>151</v>
      </c>
      <c r="C151" s="38">
        <v>5</v>
      </c>
      <c r="D151" s="38">
        <v>5</v>
      </c>
      <c r="E151" s="67"/>
    </row>
    <row r="152" spans="1:5" ht="32" customHeight="1" x14ac:dyDescent="0.2">
      <c r="A152" s="1">
        <v>117</v>
      </c>
      <c r="B152" s="18" t="s">
        <v>152</v>
      </c>
      <c r="C152" s="38">
        <v>5</v>
      </c>
      <c r="D152" s="38">
        <v>5</v>
      </c>
      <c r="E152" s="12"/>
    </row>
    <row r="153" spans="1:5" ht="32" customHeight="1" x14ac:dyDescent="0.2">
      <c r="A153" s="1">
        <v>118</v>
      </c>
      <c r="B153" s="18" t="s">
        <v>153</v>
      </c>
      <c r="C153" s="38">
        <v>5</v>
      </c>
      <c r="D153" s="38">
        <v>5</v>
      </c>
      <c r="E153" s="12"/>
    </row>
    <row r="154" spans="1:5" x14ac:dyDescent="0.2">
      <c r="A154" s="44" t="s">
        <v>154</v>
      </c>
      <c r="B154" s="45"/>
      <c r="C154" s="34">
        <f>SUM(C155:C157)</f>
        <v>48</v>
      </c>
      <c r="D154" s="34">
        <f>SUM(D155:D157)</f>
        <v>48</v>
      </c>
      <c r="E154" s="26"/>
    </row>
    <row r="155" spans="1:5" x14ac:dyDescent="0.2">
      <c r="A155" s="1">
        <v>119</v>
      </c>
      <c r="B155" s="19" t="s">
        <v>155</v>
      </c>
      <c r="C155" s="1">
        <v>3</v>
      </c>
      <c r="D155" s="1">
        <v>3</v>
      </c>
      <c r="E155" s="12"/>
    </row>
    <row r="156" spans="1:5" ht="16" customHeight="1" x14ac:dyDescent="0.2">
      <c r="A156" s="1">
        <v>120</v>
      </c>
      <c r="B156" s="18" t="s">
        <v>162</v>
      </c>
      <c r="C156" s="1">
        <v>35</v>
      </c>
      <c r="D156" s="1">
        <v>35</v>
      </c>
      <c r="E156" s="12"/>
    </row>
    <row r="157" spans="1:5" ht="32" customHeight="1" x14ac:dyDescent="0.2">
      <c r="A157" s="1">
        <v>122</v>
      </c>
      <c r="B157" s="18" t="s">
        <v>156</v>
      </c>
      <c r="C157" s="38">
        <v>10</v>
      </c>
      <c r="D157" s="38">
        <v>10</v>
      </c>
      <c r="E157" s="14"/>
    </row>
    <row r="158" spans="1:5" x14ac:dyDescent="0.2">
      <c r="A158" s="44" t="s">
        <v>157</v>
      </c>
      <c r="B158" s="45"/>
      <c r="C158" s="34"/>
      <c r="D158" s="34"/>
      <c r="E158" s="26"/>
    </row>
    <row r="159" spans="1:5" ht="48" customHeight="1" x14ac:dyDescent="0.2">
      <c r="A159" s="1">
        <v>108</v>
      </c>
      <c r="B159" s="18" t="s">
        <v>158</v>
      </c>
      <c r="C159" s="38"/>
      <c r="D159" s="38"/>
      <c r="E159" s="20"/>
    </row>
    <row r="162" spans="1:5" x14ac:dyDescent="0.2">
      <c r="A162" s="59" t="s">
        <v>159</v>
      </c>
      <c r="B162" s="60"/>
      <c r="C162" s="39"/>
      <c r="D162" s="39"/>
    </row>
    <row r="163" spans="1:5" ht="21" customHeight="1" x14ac:dyDescent="0.25">
      <c r="A163" s="55" t="s">
        <v>160</v>
      </c>
      <c r="B163" s="56"/>
      <c r="C163" s="56"/>
      <c r="D163" s="56"/>
      <c r="E163" s="45"/>
    </row>
    <row r="164" spans="1:5" x14ac:dyDescent="0.2">
      <c r="A164" s="51" t="s">
        <v>12</v>
      </c>
      <c r="B164" s="45"/>
      <c r="C164" s="7">
        <f>C11</f>
        <v>26</v>
      </c>
      <c r="D164" s="7">
        <f>D11</f>
        <v>26</v>
      </c>
      <c r="E164" s="42">
        <f t="shared" ref="E164:E170" si="0">D164/C164*100</f>
        <v>100</v>
      </c>
    </row>
    <row r="165" spans="1:5" x14ac:dyDescent="0.2">
      <c r="A165" s="44" t="s">
        <v>22</v>
      </c>
      <c r="B165" s="45"/>
      <c r="C165" s="34">
        <f>C20</f>
        <v>24</v>
      </c>
      <c r="D165" s="34">
        <f>D20</f>
        <v>24</v>
      </c>
      <c r="E165" s="42">
        <f t="shared" si="0"/>
        <v>100</v>
      </c>
    </row>
    <row r="166" spans="1:5" x14ac:dyDescent="0.2">
      <c r="A166" s="44" t="s">
        <v>31</v>
      </c>
      <c r="B166" s="45"/>
      <c r="C166" s="34">
        <f>C29</f>
        <v>38</v>
      </c>
      <c r="D166" s="34">
        <f>D29</f>
        <v>38</v>
      </c>
      <c r="E166" s="42">
        <f t="shared" si="0"/>
        <v>100</v>
      </c>
    </row>
    <row r="167" spans="1:5" x14ac:dyDescent="0.2">
      <c r="A167" s="44" t="s">
        <v>49</v>
      </c>
      <c r="B167" s="45"/>
      <c r="C167" s="34">
        <f>C48</f>
        <v>76</v>
      </c>
      <c r="D167" s="34">
        <f>D48</f>
        <v>76</v>
      </c>
      <c r="E167" s="42">
        <f t="shared" si="0"/>
        <v>100</v>
      </c>
    </row>
    <row r="168" spans="1:5" x14ac:dyDescent="0.2">
      <c r="A168" s="44" t="s">
        <v>72</v>
      </c>
      <c r="B168" s="45"/>
      <c r="C168" s="34">
        <f>C72</f>
        <v>42</v>
      </c>
      <c r="D168" s="34">
        <f>D72</f>
        <v>42</v>
      </c>
      <c r="E168" s="42">
        <f t="shared" si="0"/>
        <v>100</v>
      </c>
    </row>
    <row r="169" spans="1:5" x14ac:dyDescent="0.2">
      <c r="A169" s="44" t="s">
        <v>88</v>
      </c>
      <c r="B169" s="45"/>
      <c r="C169" s="34">
        <f>C88</f>
        <v>128</v>
      </c>
      <c r="D169" s="34">
        <f>D88</f>
        <v>128</v>
      </c>
      <c r="E169" s="42">
        <f t="shared" si="0"/>
        <v>100</v>
      </c>
    </row>
    <row r="170" spans="1:5" x14ac:dyDescent="0.2">
      <c r="A170" s="44" t="s">
        <v>141</v>
      </c>
      <c r="B170" s="45"/>
      <c r="C170" s="34">
        <f>C141</f>
        <v>50</v>
      </c>
      <c r="D170" s="34">
        <f>D141</f>
        <v>50</v>
      </c>
      <c r="E170" s="42">
        <f t="shared" si="0"/>
        <v>100</v>
      </c>
    </row>
    <row r="171" spans="1:5" x14ac:dyDescent="0.2">
      <c r="A171" s="44" t="s">
        <v>154</v>
      </c>
      <c r="B171" s="45"/>
      <c r="C171" s="34">
        <f>C154</f>
        <v>48</v>
      </c>
      <c r="D171" s="34">
        <f>D154</f>
        <v>48</v>
      </c>
      <c r="E171" s="42">
        <f>D171/C171*100*3</f>
        <v>300</v>
      </c>
    </row>
    <row r="172" spans="1:5" x14ac:dyDescent="0.2">
      <c r="A172" s="46" t="s">
        <v>163</v>
      </c>
      <c r="B172" s="46"/>
      <c r="C172" s="46"/>
      <c r="D172" s="46"/>
      <c r="E172" s="43">
        <f>SUM(E164:E171)</f>
        <v>1000</v>
      </c>
    </row>
  </sheetData>
  <mergeCells count="39">
    <mergeCell ref="D2:D3"/>
    <mergeCell ref="A167:B167"/>
    <mergeCell ref="A133:B133"/>
    <mergeCell ref="A163:E163"/>
    <mergeCell ref="A89:B89"/>
    <mergeCell ref="E2:E3"/>
    <mergeCell ref="A154:B154"/>
    <mergeCell ref="A34:B34"/>
    <mergeCell ref="A162:B162"/>
    <mergeCell ref="A42:B42"/>
    <mergeCell ref="A141:B141"/>
    <mergeCell ref="A158:B158"/>
    <mergeCell ref="A97:B97"/>
    <mergeCell ref="A20:B20"/>
    <mergeCell ref="A11:B11"/>
    <mergeCell ref="A49:B49"/>
    <mergeCell ref="B2:C3"/>
    <mergeCell ref="A164:B164"/>
    <mergeCell ref="A72:B72"/>
    <mergeCell ref="A169:B169"/>
    <mergeCell ref="A10:B10"/>
    <mergeCell ref="A83:B83"/>
    <mergeCell ref="A67:B67"/>
    <mergeCell ref="A58:B58"/>
    <mergeCell ref="A77:B77"/>
    <mergeCell ref="A166:B166"/>
    <mergeCell ref="A107:B107"/>
    <mergeCell ref="A168:B168"/>
    <mergeCell ref="A88:B88"/>
    <mergeCell ref="A48:B48"/>
    <mergeCell ref="A30:B30"/>
    <mergeCell ref="A165:B165"/>
    <mergeCell ref="A171:B171"/>
    <mergeCell ref="A172:D172"/>
    <mergeCell ref="A170:B170"/>
    <mergeCell ref="A147:B147"/>
    <mergeCell ref="A29:B29"/>
    <mergeCell ref="A73:B73"/>
    <mergeCell ref="A142:B142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="119" zoomScaleNormal="108" workbookViewId="0">
      <selection activeCell="C4" sqref="C4"/>
    </sheetView>
  </sheetViews>
  <sheetFormatPr baseColWidth="10" defaultColWidth="9.1640625" defaultRowHeight="15" x14ac:dyDescent="0.2"/>
  <cols>
    <col min="1" max="6" width="21.1640625" style="2" customWidth="1"/>
    <col min="7" max="8" width="9.1640625" style="2" customWidth="1"/>
    <col min="9" max="16384" width="9.1640625" style="2"/>
  </cols>
  <sheetData>
    <row r="1" spans="1:6" ht="20" customHeight="1" x14ac:dyDescent="0.2">
      <c r="A1" s="63" t="s">
        <v>161</v>
      </c>
      <c r="B1" s="64"/>
      <c r="C1" s="64"/>
      <c r="D1" s="64"/>
      <c r="E1" s="64"/>
      <c r="F1" s="64"/>
    </row>
    <row r="2" spans="1:6" ht="123.75" customHeight="1" x14ac:dyDescent="0.2"/>
    <row r="3" spans="1:6" s="4" customFormat="1" x14ac:dyDescent="0.2">
      <c r="A3" s="3"/>
      <c r="B3" s="3"/>
      <c r="C3" s="3"/>
      <c r="D3" s="3"/>
      <c r="E3" s="3"/>
      <c r="F3" s="3"/>
    </row>
    <row r="4" spans="1:6" ht="123.75" customHeight="1" x14ac:dyDescent="0.2"/>
    <row r="5" spans="1:6" s="4" customFormat="1" x14ac:dyDescent="0.2">
      <c r="A5" s="3"/>
      <c r="B5" s="3"/>
      <c r="C5" s="3"/>
      <c r="D5" s="3"/>
      <c r="E5" s="3"/>
      <c r="F5" s="3"/>
    </row>
    <row r="6" spans="1:6" ht="123.75" customHeight="1" x14ac:dyDescent="0.2"/>
    <row r="7" spans="1:6" s="4" customFormat="1" x14ac:dyDescent="0.2">
      <c r="A7" s="3"/>
      <c r="B7" s="3"/>
      <c r="C7" s="3"/>
      <c r="D7" s="3"/>
      <c r="E7" s="3"/>
      <c r="F7" s="3"/>
    </row>
    <row r="8" spans="1:6" ht="123.75" customHeight="1" x14ac:dyDescent="0.2"/>
    <row r="9" spans="1:6" s="4" customFormat="1" x14ac:dyDescent="0.2">
      <c r="A9" s="3"/>
      <c r="B9" s="3"/>
      <c r="C9" s="3"/>
      <c r="D9" s="3"/>
      <c r="E9" s="3"/>
      <c r="F9" s="3"/>
    </row>
    <row r="10" spans="1:6" ht="123.75" customHeight="1" x14ac:dyDescent="0.2"/>
    <row r="11" spans="1:6" s="4" customFormat="1" x14ac:dyDescent="0.2">
      <c r="A11" s="3"/>
      <c r="B11" s="3"/>
      <c r="C11" s="3"/>
      <c r="D11" s="3"/>
      <c r="E11" s="3"/>
      <c r="F11" s="3"/>
    </row>
    <row r="12" spans="1:6" ht="123.75" customHeight="1" x14ac:dyDescent="0.2"/>
    <row r="13" spans="1:6" s="4" customFormat="1" x14ac:dyDescent="0.2">
      <c r="A13" s="3"/>
      <c r="B13" s="3"/>
      <c r="C13" s="3"/>
      <c r="D13" s="3"/>
      <c r="E13" s="3"/>
      <c r="F13" s="3"/>
    </row>
  </sheetData>
  <mergeCells count="1">
    <mergeCell ref="A1:F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AUDIT</vt:lpstr>
      <vt:lpstr>ATTACHMENT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Sultan Azhari</cp:lastModifiedBy>
  <dcterms:created xsi:type="dcterms:W3CDTF">2025-02-10T04:54:01Z</dcterms:created>
  <dcterms:modified xsi:type="dcterms:W3CDTF">2026-07-24T10:57:49Z</dcterms:modified>
</cp:coreProperties>
</file>